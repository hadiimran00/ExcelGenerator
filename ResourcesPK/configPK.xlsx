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4380" windowHeight="4100"/>
  </bookViews>
  <sheets>
    <sheet name="Screens" sheetId="1" r:id="rId1"/>
    <sheet name="Params" sheetId="2" r:id="rId2"/>
    <sheet name="Rules" sheetId="3" r:id="rId3"/>
  </sheets>
  <calcPr calcId="162913" concurrentManualCount="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2" l="1"/>
  <c r="D7" i="2"/>
</calcChain>
</file>

<file path=xl/sharedStrings.xml><?xml version="1.0" encoding="utf-8"?>
<sst xmlns="http://schemas.openxmlformats.org/spreadsheetml/2006/main" count="340" uniqueCount="165">
  <si>
    <t>screenName</t>
  </si>
  <si>
    <t>screenId</t>
  </si>
  <si>
    <t>mode</t>
  </si>
  <si>
    <t>templatePath</t>
  </si>
  <si>
    <t>DSR Profile Bulk Upload</t>
  </si>
  <si>
    <t>DSR_PROFILE_DATA</t>
  </si>
  <si>
    <t>NG1104</t>
  </si>
  <si>
    <t>key</t>
  </si>
  <si>
    <t>value</t>
  </si>
  <si>
    <t>pjpno</t>
  </si>
  <si>
    <t>category</t>
  </si>
  <si>
    <t>brand</t>
  </si>
  <si>
    <t>basePack</t>
  </si>
  <si>
    <t>status</t>
  </si>
  <si>
    <t>product</t>
  </si>
  <si>
    <t>columnName</t>
  </si>
  <si>
    <t>type</t>
  </si>
  <si>
    <t>length</t>
  </si>
  <si>
    <t>prefix</t>
  </si>
  <si>
    <t>DSR Name*</t>
  </si>
  <si>
    <t>UUID</t>
  </si>
  <si>
    <t>AUTODSR_</t>
  </si>
  <si>
    <t>Father/Spouse Name</t>
  </si>
  <si>
    <t>Father_</t>
  </si>
  <si>
    <t>Contact Number*</t>
  </si>
  <si>
    <t>PHONE</t>
  </si>
  <si>
    <t>Employee No</t>
  </si>
  <si>
    <t>EMP</t>
  </si>
  <si>
    <t>Locus Download</t>
  </si>
  <si>
    <t>dateFrom</t>
  </si>
  <si>
    <t>dateTo</t>
  </si>
  <si>
    <t>pjpNumber</t>
  </si>
  <si>
    <t>orderSource</t>
  </si>
  <si>
    <t>NG1101</t>
  </si>
  <si>
    <t>Sections</t>
  </si>
  <si>
    <t>List Price</t>
  </si>
  <si>
    <t>Actual List Price</t>
  </si>
  <si>
    <t>Trade Price</t>
  </si>
  <si>
    <t>Vat Price</t>
  </si>
  <si>
    <t>NUM</t>
  </si>
  <si>
    <t>Effect Date*</t>
  </si>
  <si>
    <t>DATE</t>
  </si>
  <si>
    <t>LOCUS_DOWNLOAD</t>
  </si>
  <si>
    <t>DOWNLOAD_ONLY</t>
  </si>
  <si>
    <t>outlet change track excel</t>
  </si>
  <si>
    <t>EXCEL_UPLOAD</t>
  </si>
  <si>
    <t>getGeoHierarchyCode</t>
  </si>
  <si>
    <t>distributor</t>
  </si>
  <si>
    <t>OutletChannel</t>
  </si>
  <si>
    <t>outlet creation upload</t>
  </si>
  <si>
    <t>OUTLET_CREATION_UPLOAD</t>
  </si>
  <si>
    <t>Outlet Long Name*</t>
  </si>
  <si>
    <t>AUTO_OUTL</t>
  </si>
  <si>
    <t>Mobile Number*</t>
  </si>
  <si>
    <t>COORDINATES</t>
  </si>
  <si>
    <t>Product Enrichment Approval</t>
  </si>
  <si>
    <t>execute</t>
  </si>
  <si>
    <t>Latitude*</t>
  </si>
  <si>
    <t>dsrProfileData.xlsx</t>
  </si>
  <si>
    <t>productPrice.xlsx</t>
  </si>
  <si>
    <t>ExcelTemplateForOutletCreation.xlsx</t>
  </si>
  <si>
    <t>OutletExcel.xlsx</t>
  </si>
  <si>
    <t>SECTION_BULK_UPLOAD</t>
  </si>
  <si>
    <t>Section Bulk Upload</t>
  </si>
  <si>
    <t>section_bulk_file.xlsx</t>
  </si>
  <si>
    <t>Distributor excel upload</t>
  </si>
  <si>
    <t>DISTRIBUTOR_EXCEL_UPLOAD</t>
  </si>
  <si>
    <t>distributorProfileBulkUpdate.xlsx</t>
  </si>
  <si>
    <t>Validation Excel Upload</t>
  </si>
  <si>
    <t>VALIDATION_EXCEL_UPLOAD</t>
  </si>
  <si>
    <t>Excel_Validation.xlsx</t>
  </si>
  <si>
    <t>upload base pack excel</t>
  </si>
  <si>
    <t>BASE_PACK_EXCEL</t>
  </si>
  <si>
    <t>basepack.xlsx</t>
  </si>
  <si>
    <t>ProductEnrichmentComponentApproval.xlsx</t>
  </si>
  <si>
    <t>DOWNLOAD_UPDATE_UPLOAD</t>
  </si>
  <si>
    <t>DOWNLOAD_UPLOAD</t>
  </si>
  <si>
    <t>MULLER &amp; PHIPPS (KORANGI - KARACHI)</t>
  </si>
  <si>
    <t>Y</t>
  </si>
  <si>
    <t>CNIC Number</t>
  </si>
  <si>
    <t>NIC</t>
  </si>
  <si>
    <t>LUXALLURETRIOWHITEA336X3X130G</t>
  </si>
  <si>
    <t>Active</t>
  </si>
  <si>
    <t>LUX SKIN CLEANSING BAR WHITE TRIO 3X140G</t>
  </si>
  <si>
    <t>LUX</t>
  </si>
  <si>
    <t>SKINCLEANSING</t>
  </si>
  <si>
    <t>All</t>
  </si>
  <si>
    <t>Price Master Excel</t>
  </si>
  <si>
    <t>geoCode</t>
  </si>
  <si>
    <t>Vehicle Master Bulk Upload</t>
  </si>
  <si>
    <t>001001-GT/MT</t>
  </si>
  <si>
    <t>distCode</t>
  </si>
  <si>
    <t>VEHICLE_MASTER_MODIFICATION</t>
  </si>
  <si>
    <t>VehicleMasterModification.xlsx</t>
  </si>
  <si>
    <t>LUXSHOWERSECRETBLISS220ML</t>
  </si>
  <si>
    <t>PHSEC001</t>
  </si>
  <si>
    <t>50250327-MULLER &amp; PHIPPS (KORANGI - KARACHI)</t>
  </si>
  <si>
    <t>C11672-Mohalla General Store</t>
  </si>
  <si>
    <t>Identified On*</t>
  </si>
  <si>
    <t>Activation Date*</t>
  </si>
  <si>
    <t>Product Exclusion Policy</t>
  </si>
  <si>
    <t>PRODUCT_POLICY</t>
  </si>
  <si>
    <t>PEP</t>
  </si>
  <si>
    <t>ProductExclusionFile.xlsx</t>
  </si>
  <si>
    <t>N02N02-Province</t>
  </si>
  <si>
    <t>50250327-0206-KamalOB</t>
  </si>
  <si>
    <t>Section20600-Section-206</t>
  </si>
  <si>
    <t>testID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</si>
  <si>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</si>
  <si>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</si>
  <si>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</si>
  <si>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</si>
  <si>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</si>
  <si>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</si>
  <si>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</si>
  <si>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</si>
  <si>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</si>
  <si>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</si>
  <si>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</si>
  <si>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</si>
  <si>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product Enrichment Approval</t>
  </si>
  <si>
    <t>13</t>
  </si>
  <si>
    <t>ProductExclusionFile2.xlsx</t>
  </si>
  <si>
    <t>14</t>
  </si>
  <si>
    <t>Price Master Approval</t>
  </si>
  <si>
    <t>NG1103</t>
  </si>
  <si>
    <t>productPriceApproval.xlsx</t>
  </si>
  <si>
    <t>15</t>
  </si>
  <si>
    <t>bulk order upload</t>
  </si>
  <si>
    <t>DYL_LMT_ORDER_CREATION</t>
  </si>
  <si>
    <t>PO_NUMBER</t>
  </si>
  <si>
    <t>LmtOrderCreationExcel.xlsx</t>
  </si>
  <si>
    <t>LMT</t>
  </si>
  <si>
    <t>MPOB0001</t>
  </si>
  <si>
    <t>N</t>
  </si>
  <si>
    <t>16</t>
  </si>
  <si>
    <t>VehicleMasterModification2.xlsx</t>
  </si>
  <si>
    <t>Description*</t>
  </si>
  <si>
    <t>Vehicle</t>
  </si>
  <si>
    <t>Registration Number*</t>
  </si>
  <si>
    <t>PHBC009 - BulkDM</t>
  </si>
  <si>
    <t>17</t>
  </si>
  <si>
    <t>DISTRIBUTOR_SHUFFLING_UPLOAD</t>
  </si>
  <si>
    <t>Distributor shuffling upload</t>
  </si>
  <si>
    <t>Distributor Shuffling Upload</t>
  </si>
  <si>
    <t>LeopardOBP</t>
  </si>
  <si>
    <t>Liaqat Bazar</t>
  </si>
  <si>
    <t>Ali-Gohar</t>
  </si>
  <si>
    <t>Mohalla General Store</t>
  </si>
  <si>
    <t>DistributorShuffling1.xlsx</t>
  </si>
  <si>
    <t>18</t>
  </si>
  <si>
    <t>UPLOAD_ONLY</t>
  </si>
  <si>
    <t>DistributorShuffling2.xlsx</t>
  </si>
  <si>
    <t>19</t>
  </si>
  <si>
    <t>User Bulk Upload</t>
  </si>
  <si>
    <t>USER_BULK_UPLOAD</t>
  </si>
  <si>
    <t>Code*</t>
  </si>
  <si>
    <t>Name*</t>
  </si>
  <si>
    <t>Auto_</t>
  </si>
  <si>
    <t>User_</t>
  </si>
  <si>
    <t>UserBulkUpload.xlsx</t>
  </si>
  <si>
    <t>20</t>
  </si>
  <si>
    <t>SELLING_CATEGORY_BULK_UPLOAD</t>
  </si>
  <si>
    <t>Selling Category Bulk Upload</t>
  </si>
  <si>
    <t>Selling_Category_Bulk_Upload.xlsx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</si>
</sst>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  <xf numFmtId="0" fontId="0" fillId="0" borderId="0" xfId="0" quotePrefix="1" applyAlignment="1">
      <alignment vertical="center" wrapText="1"/>
    </xf>
    <xf numFmtId="14" fontId="0" fillId="0" borderId="0" xfId="0" quotePrefix="1" applyNumberFormat="1" applyAlignment="1">
      <alignment vertical="center" wrapText="1"/>
    </xf>
    <xf numFmtId="0" fontId="0" fillId="2" borderId="0" xfId="0" applyFill="1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0" fillId="3" borderId="2" xfId="0" quotePrefix="1" applyFill="1" applyBorder="1"/>
    <xf numFmtId="0" fontId="0" fillId="3" borderId="2" xfId="0" applyFill="1" applyBorder="1"/>
    <xf numFmtId="0" fontId="0" fillId="3" borderId="2" xfId="0" applyFill="1" applyBorder="1" applyAlignment="1">
      <alignment vertical="center" wrapText="1"/>
    </xf>
    <xf numFmtId="0" fontId="0" fillId="0" borderId="1" xfId="0" applyBorder="1"/>
    <xf numFmtId="0" fontId="0" fillId="3" borderId="3" xfId="0" quotePrefix="1" applyFill="1" applyBorder="1"/>
    <xf numFmtId="0" fontId="0" fillId="3" borderId="3" xfId="0" applyFill="1" applyBorder="1"/>
    <xf numFmtId="0" fontId="0" fillId="3" borderId="3" xfId="0" applyFill="1" applyBorder="1" applyAlignment="1">
      <alignment vertical="center" wrapText="1"/>
    </xf>
    <xf numFmtId="0" fontId="0" fillId="0" borderId="1" xfId="0" quotePrefix="1" applyBorder="1"/>
    <xf numFmtId="0" fontId="0" fillId="4" borderId="1" xfId="0" quotePrefix="1" applyFill="1" applyBorder="1"/>
    <xf numFmtId="0" fontId="0" fillId="4" borderId="1" xfId="0" applyFill="1" applyBorder="1" applyAlignment="1">
      <alignment vertical="center" wrapText="1"/>
    </xf>
    <xf numFmtId="0" fontId="0" fillId="4" borderId="0" xfId="0" applyFill="1"/>
    <xf numFmtId="0" fontId="0" fillId="0" borderId="0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E7" sqref="E7"/>
    </sheetView>
  </sheetViews>
  <sheetFormatPr defaultColWidth="31.54296875" defaultRowHeight="15.5" customHeight="1" x14ac:dyDescent="0.35"/>
  <cols>
    <col min="1" max="1" width="11.7265625" customWidth="1"/>
    <col min="2" max="2" width="26.1796875" customWidth="1"/>
    <col min="3" max="3" width="35.36328125" customWidth="1"/>
    <col min="4" max="4" width="34.6328125" customWidth="1"/>
    <col min="5" max="5" width="39.08984375" customWidth="1"/>
    <col min="6" max="6" width="10.36328125" customWidth="1"/>
  </cols>
  <sheetData>
    <row r="1" spans="1:6" ht="15.5" customHeight="1" x14ac:dyDescent="0.35">
      <c r="A1" s="8" t="s">
        <v>107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56</v>
      </c>
    </row>
    <row r="2" spans="1:6" s="6" customFormat="1" ht="23.5" customHeight="1" x14ac:dyDescent="0.35">
      <c r="A2" s="10" t="s">
        <v>108</v>
      </c>
      <c r="B2" s="11" t="s">
        <v>4</v>
      </c>
      <c r="C2" s="11" t="s">
        <v>5</v>
      </c>
      <c r="D2" s="11" t="s">
        <v>75</v>
      </c>
      <c r="E2" s="11" t="s">
        <v>58</v>
      </c>
      <c r="F2" s="11" t="s">
        <v>78</v>
      </c>
    </row>
    <row r="3" spans="1:6" s="23" customFormat="1" ht="32" customHeight="1" x14ac:dyDescent="0.35">
      <c r="A3" s="21" t="s">
        <v>109</v>
      </c>
      <c r="B3" s="22" t="s">
        <v>120</v>
      </c>
      <c r="C3" s="22" t="s">
        <v>6</v>
      </c>
      <c r="D3" s="22" t="s">
        <v>76</v>
      </c>
      <c r="E3" s="22" t="s">
        <v>74</v>
      </c>
      <c r="F3" s="11" t="s">
        <v>134</v>
      </c>
    </row>
    <row r="4" spans="1:6" s="6" customFormat="1" ht="15.5" customHeight="1" x14ac:dyDescent="0.35">
      <c r="A4" s="10" t="s">
        <v>110</v>
      </c>
      <c r="B4" s="12" t="s">
        <v>87</v>
      </c>
      <c r="C4" s="12" t="s">
        <v>33</v>
      </c>
      <c r="D4" s="11" t="s">
        <v>75</v>
      </c>
      <c r="E4" s="11" t="s">
        <v>59</v>
      </c>
      <c r="F4" s="11" t="s">
        <v>78</v>
      </c>
    </row>
    <row r="5" spans="1:6" s="6" customFormat="1" ht="20.5" customHeight="1" x14ac:dyDescent="0.35">
      <c r="A5" s="10" t="s">
        <v>112</v>
      </c>
      <c r="B5" s="12" t="s">
        <v>49</v>
      </c>
      <c r="C5" s="12" t="s">
        <v>50</v>
      </c>
      <c r="D5" s="11" t="s">
        <v>75</v>
      </c>
      <c r="E5" s="11" t="s">
        <v>60</v>
      </c>
      <c r="F5" s="11" t="s">
        <v>78</v>
      </c>
    </row>
    <row r="6" spans="1:6" ht="15.5" customHeight="1" x14ac:dyDescent="0.35">
      <c r="A6" s="10" t="s">
        <v>113</v>
      </c>
      <c r="B6" s="12" t="s">
        <v>44</v>
      </c>
      <c r="C6" s="12" t="s">
        <v>45</v>
      </c>
      <c r="D6" s="11" t="s">
        <v>76</v>
      </c>
      <c r="E6" s="11" t="s">
        <v>61</v>
      </c>
      <c r="F6" s="11" t="s">
        <v>78</v>
      </c>
    </row>
    <row r="7" spans="1:6" s="6" customFormat="1" ht="15.5" customHeight="1" x14ac:dyDescent="0.35">
      <c r="A7" s="10" t="s">
        <v>114</v>
      </c>
      <c r="B7" s="12" t="s">
        <v>63</v>
      </c>
      <c r="C7" s="12" t="s">
        <v>62</v>
      </c>
      <c r="D7" s="11" t="s">
        <v>76</v>
      </c>
      <c r="E7" s="11" t="s">
        <v>64</v>
      </c>
      <c r="F7" s="11" t="s">
        <v>78</v>
      </c>
    </row>
    <row r="8" spans="1:6" s="6" customFormat="1" ht="15.5" customHeight="1" x14ac:dyDescent="0.35">
      <c r="A8" s="10" t="s">
        <v>115</v>
      </c>
      <c r="B8" s="12" t="s">
        <v>65</v>
      </c>
      <c r="C8" s="12" t="s">
        <v>66</v>
      </c>
      <c r="D8" s="11" t="s">
        <v>76</v>
      </c>
      <c r="E8" s="11" t="s">
        <v>67</v>
      </c>
      <c r="F8" s="11" t="s">
        <v>78</v>
      </c>
    </row>
    <row r="9" spans="1:6" s="6" customFormat="1" ht="15.5" customHeight="1" x14ac:dyDescent="0.35">
      <c r="A9" s="10" t="s">
        <v>116</v>
      </c>
      <c r="B9" s="12" t="s">
        <v>68</v>
      </c>
      <c r="C9" s="12" t="s">
        <v>69</v>
      </c>
      <c r="D9" s="11" t="s">
        <v>76</v>
      </c>
      <c r="E9" s="11" t="s">
        <v>70</v>
      </c>
      <c r="F9" s="11" t="s">
        <v>78</v>
      </c>
    </row>
    <row r="10" spans="1:6" s="6" customFormat="1" ht="15.5" customHeight="1" x14ac:dyDescent="0.35">
      <c r="A10" s="10" t="s">
        <v>117</v>
      </c>
      <c r="B10" s="12" t="s">
        <v>71</v>
      </c>
      <c r="C10" s="12" t="s">
        <v>72</v>
      </c>
      <c r="D10" s="11" t="s">
        <v>76</v>
      </c>
      <c r="E10" s="11" t="s">
        <v>73</v>
      </c>
      <c r="F10" s="11" t="s">
        <v>78</v>
      </c>
    </row>
    <row r="11" spans="1:6" ht="15.5" customHeight="1" x14ac:dyDescent="0.35">
      <c r="A11" s="10" t="s">
        <v>118</v>
      </c>
      <c r="B11" s="12" t="s">
        <v>89</v>
      </c>
      <c r="C11" s="12" t="s">
        <v>92</v>
      </c>
      <c r="D11" s="11" t="s">
        <v>76</v>
      </c>
      <c r="E11" s="11" t="s">
        <v>93</v>
      </c>
      <c r="F11" s="11" t="s">
        <v>78</v>
      </c>
    </row>
    <row r="12" spans="1:6" ht="15.5" customHeight="1" x14ac:dyDescent="0.35">
      <c r="A12" s="10" t="s">
        <v>119</v>
      </c>
      <c r="B12" s="12" t="s">
        <v>100</v>
      </c>
      <c r="C12" s="12" t="s">
        <v>101</v>
      </c>
      <c r="D12" s="11" t="s">
        <v>102</v>
      </c>
      <c r="E12" s="12" t="s">
        <v>103</v>
      </c>
      <c r="F12" s="11" t="s">
        <v>78</v>
      </c>
    </row>
    <row r="13" spans="1:6" ht="15.5" customHeight="1" x14ac:dyDescent="0.35">
      <c r="A13" s="13" t="s">
        <v>121</v>
      </c>
      <c r="B13" s="14" t="s">
        <v>100</v>
      </c>
      <c r="C13" s="14" t="s">
        <v>101</v>
      </c>
      <c r="D13" s="15" t="s">
        <v>102</v>
      </c>
      <c r="E13" s="14" t="s">
        <v>122</v>
      </c>
      <c r="F13" s="11" t="s">
        <v>78</v>
      </c>
    </row>
    <row r="14" spans="1:6" s="16" customFormat="1" ht="15.5" customHeight="1" x14ac:dyDescent="0.35">
      <c r="A14" s="10" t="s">
        <v>123</v>
      </c>
      <c r="B14" s="12" t="s">
        <v>124</v>
      </c>
      <c r="C14" s="12" t="s">
        <v>125</v>
      </c>
      <c r="D14" s="11" t="s">
        <v>76</v>
      </c>
      <c r="E14" s="11" t="s">
        <v>126</v>
      </c>
      <c r="F14" s="11" t="s">
        <v>78</v>
      </c>
    </row>
    <row r="15" spans="1:6" ht="15.5" customHeight="1" x14ac:dyDescent="0.35">
      <c r="A15" s="17" t="s">
        <v>127</v>
      </c>
      <c r="B15" s="18" t="s">
        <v>128</v>
      </c>
      <c r="C15" s="18" t="s">
        <v>129</v>
      </c>
      <c r="D15" s="19" t="s">
        <v>132</v>
      </c>
      <c r="E15" s="19" t="s">
        <v>131</v>
      </c>
      <c r="F15" s="11" t="s">
        <v>78</v>
      </c>
    </row>
    <row r="16" spans="1:6" s="6" customFormat="1" ht="15.5" customHeight="1" x14ac:dyDescent="0.35">
      <c r="A16" s="10" t="s">
        <v>111</v>
      </c>
      <c r="B16" s="12" t="s">
        <v>28</v>
      </c>
      <c r="C16" s="12" t="s">
        <v>42</v>
      </c>
      <c r="D16" s="11" t="s">
        <v>43</v>
      </c>
      <c r="E16" s="12"/>
      <c r="F16" s="11" t="s">
        <v>78</v>
      </c>
    </row>
    <row r="17" spans="1:6" ht="15.5" customHeight="1" x14ac:dyDescent="0.35">
      <c r="A17" s="13" t="s">
        <v>135</v>
      </c>
      <c r="B17" s="14" t="s">
        <v>89</v>
      </c>
      <c r="C17" s="14" t="s">
        <v>92</v>
      </c>
      <c r="D17" s="15" t="s">
        <v>76</v>
      </c>
      <c r="E17" s="15" t="s">
        <v>136</v>
      </c>
      <c r="F17" s="11" t="s">
        <v>78</v>
      </c>
    </row>
    <row r="18" spans="1:6" s="16" customFormat="1" ht="15.5" customHeight="1" x14ac:dyDescent="0.35">
      <c r="A18" s="20" t="s">
        <v>141</v>
      </c>
      <c r="B18" s="12" t="s">
        <v>143</v>
      </c>
      <c r="C18" s="12" t="s">
        <v>142</v>
      </c>
      <c r="D18" s="11" t="s">
        <v>76</v>
      </c>
      <c r="E18" s="11" t="s">
        <v>149</v>
      </c>
      <c r="F18" s="11" t="s">
        <v>78</v>
      </c>
    </row>
    <row r="19" spans="1:6" s="16" customFormat="1" ht="15.5" customHeight="1" x14ac:dyDescent="0.35">
      <c r="A19" s="20" t="s">
        <v>150</v>
      </c>
      <c r="B19" s="12" t="s">
        <v>143</v>
      </c>
      <c r="C19" s="12" t="s">
        <v>142</v>
      </c>
      <c r="D19" s="11" t="s">
        <v>151</v>
      </c>
      <c r="E19" s="11" t="s">
        <v>152</v>
      </c>
      <c r="F19" s="11" t="s">
        <v>78</v>
      </c>
    </row>
    <row r="20" spans="1:6" ht="15.5" customHeight="1" x14ac:dyDescent="0.35">
      <c r="A20" s="3" t="s">
        <v>153</v>
      </c>
      <c r="B20" s="18" t="s">
        <v>154</v>
      </c>
      <c r="C20" s="18" t="s">
        <v>155</v>
      </c>
      <c r="D20" s="19" t="s">
        <v>75</v>
      </c>
      <c r="E20" s="19" t="s">
        <v>160</v>
      </c>
      <c r="F20" s="19" t="s">
        <v>78</v>
      </c>
    </row>
    <row r="21" spans="1:6" ht="15.5" customHeight="1" x14ac:dyDescent="0.35">
      <c r="A21" s="24" t="s">
        <v>161</v>
      </c>
      <c r="B21" s="18" t="s">
        <v>163</v>
      </c>
      <c r="C21" s="18" t="s">
        <v>162</v>
      </c>
      <c r="D21" s="19" t="s">
        <v>76</v>
      </c>
      <c r="E21" s="19" t="s">
        <v>164</v>
      </c>
      <c r="F21" s="19" t="s">
        <v>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6" workbookViewId="0">
      <selection activeCell="D28" sqref="D28"/>
    </sheetView>
  </sheetViews>
  <sheetFormatPr defaultColWidth="19" defaultRowHeight="16.5" customHeight="1" x14ac:dyDescent="0.35"/>
  <cols>
    <col min="2" max="2" width="26.6328125" customWidth="1"/>
    <col min="3" max="3" width="21.08984375" customWidth="1"/>
    <col min="4" max="4" width="41.81640625" customWidth="1"/>
  </cols>
  <sheetData>
    <row r="1" spans="1:4" ht="16.5" customHeight="1" x14ac:dyDescent="0.35">
      <c r="A1" s="7" t="s">
        <v>107</v>
      </c>
      <c r="B1" s="1" t="s">
        <v>0</v>
      </c>
      <c r="C1" s="1" t="s">
        <v>7</v>
      </c>
      <c r="D1" s="1" t="s">
        <v>8</v>
      </c>
    </row>
    <row r="2" spans="1:4" ht="16.5" customHeight="1" x14ac:dyDescent="0.35">
      <c r="A2" s="3" t="s">
        <v>109</v>
      </c>
      <c r="B2" s="2" t="s">
        <v>55</v>
      </c>
      <c r="C2" s="2" t="s">
        <v>10</v>
      </c>
      <c r="D2" s="2" t="s">
        <v>85</v>
      </c>
    </row>
    <row r="3" spans="1:4" ht="16.5" customHeight="1" x14ac:dyDescent="0.35">
      <c r="A3" s="3" t="s">
        <v>109</v>
      </c>
      <c r="B3" s="2" t="s">
        <v>55</v>
      </c>
      <c r="C3" s="2" t="s">
        <v>11</v>
      </c>
      <c r="D3" s="2" t="s">
        <v>84</v>
      </c>
    </row>
    <row r="4" spans="1:4" ht="16.5" customHeight="1" x14ac:dyDescent="0.35">
      <c r="A4" s="3" t="s">
        <v>109</v>
      </c>
      <c r="B4" s="2" t="s">
        <v>55</v>
      </c>
      <c r="C4" s="2" t="s">
        <v>12</v>
      </c>
      <c r="D4" s="2" t="s">
        <v>83</v>
      </c>
    </row>
    <row r="5" spans="1:4" ht="16.5" customHeight="1" x14ac:dyDescent="0.35">
      <c r="A5" s="3" t="s">
        <v>109</v>
      </c>
      <c r="B5" s="2" t="s">
        <v>55</v>
      </c>
      <c r="C5" s="2" t="s">
        <v>13</v>
      </c>
      <c r="D5" s="2" t="s">
        <v>82</v>
      </c>
    </row>
    <row r="6" spans="1:4" ht="16.5" customHeight="1" x14ac:dyDescent="0.35">
      <c r="A6" s="3" t="s">
        <v>109</v>
      </c>
      <c r="B6" s="2" t="s">
        <v>55</v>
      </c>
      <c r="C6" s="2" t="s">
        <v>14</v>
      </c>
      <c r="D6" s="2" t="s">
        <v>81</v>
      </c>
    </row>
    <row r="7" spans="1:4" ht="16.5" customHeight="1" x14ac:dyDescent="0.35">
      <c r="A7" s="3" t="s">
        <v>111</v>
      </c>
      <c r="B7" s="2" t="s">
        <v>28</v>
      </c>
      <c r="C7" s="2" t="s">
        <v>29</v>
      </c>
      <c r="D7" s="4" t="str">
        <f ca="1" xml:space="preserve"> TEXT(TODAY() - 4, "yyyy-mm-dd")</f>
        <v>2025-12-06</v>
      </c>
    </row>
    <row r="8" spans="1:4" ht="16.5" customHeight="1" x14ac:dyDescent="0.35">
      <c r="A8" s="3" t="s">
        <v>111</v>
      </c>
      <c r="B8" s="2" t="s">
        <v>28</v>
      </c>
      <c r="C8" s="2" t="s">
        <v>30</v>
      </c>
      <c r="D8" s="5" t="str">
        <f ca="1">TEXT(TODAY()+2, "yyyy-mm-dd")</f>
        <v>2025-12-12</v>
      </c>
    </row>
    <row r="9" spans="1:4" ht="16.5" customHeight="1" x14ac:dyDescent="0.35">
      <c r="A9" s="3" t="s">
        <v>111</v>
      </c>
      <c r="B9" s="2" t="s">
        <v>28</v>
      </c>
      <c r="C9" s="2" t="s">
        <v>31</v>
      </c>
      <c r="D9" s="4" t="s">
        <v>133</v>
      </c>
    </row>
    <row r="10" spans="1:4" ht="16.5" customHeight="1" x14ac:dyDescent="0.35">
      <c r="A10" s="3" t="s">
        <v>111</v>
      </c>
      <c r="B10" s="2" t="s">
        <v>28</v>
      </c>
      <c r="C10" s="2" t="s">
        <v>32</v>
      </c>
      <c r="D10" t="s">
        <v>86</v>
      </c>
    </row>
    <row r="11" spans="1:4" ht="16.5" customHeight="1" x14ac:dyDescent="0.35">
      <c r="A11" s="3" t="s">
        <v>108</v>
      </c>
      <c r="B11" s="2" t="s">
        <v>4</v>
      </c>
      <c r="C11" s="2" t="s">
        <v>9</v>
      </c>
      <c r="D11" s="2" t="s">
        <v>77</v>
      </c>
    </row>
    <row r="12" spans="1:4" ht="16.5" customHeight="1" x14ac:dyDescent="0.35">
      <c r="A12" s="3" t="s">
        <v>113</v>
      </c>
      <c r="B12" s="2" t="s">
        <v>44</v>
      </c>
      <c r="C12" s="2" t="s">
        <v>46</v>
      </c>
      <c r="D12" s="3" t="s">
        <v>104</v>
      </c>
    </row>
    <row r="13" spans="1:4" ht="16.5" customHeight="1" x14ac:dyDescent="0.35">
      <c r="A13" s="3" t="s">
        <v>113</v>
      </c>
      <c r="B13" s="2" t="s">
        <v>44</v>
      </c>
      <c r="C13" s="2" t="s">
        <v>47</v>
      </c>
      <c r="D13" s="3" t="s">
        <v>96</v>
      </c>
    </row>
    <row r="14" spans="1:4" ht="16.5" customHeight="1" x14ac:dyDescent="0.35">
      <c r="A14" s="3" t="s">
        <v>113</v>
      </c>
      <c r="B14" s="2" t="s">
        <v>44</v>
      </c>
      <c r="C14" s="2" t="s">
        <v>9</v>
      </c>
      <c r="D14" s="4" t="s">
        <v>105</v>
      </c>
    </row>
    <row r="15" spans="1:4" ht="16.5" customHeight="1" x14ac:dyDescent="0.35">
      <c r="A15" s="3" t="s">
        <v>113</v>
      </c>
      <c r="B15" s="2" t="s">
        <v>44</v>
      </c>
      <c r="C15" s="2" t="s">
        <v>34</v>
      </c>
      <c r="D15" s="3" t="s">
        <v>106</v>
      </c>
    </row>
    <row r="16" spans="1:4" ht="16.5" customHeight="1" x14ac:dyDescent="0.35">
      <c r="A16" s="3" t="s">
        <v>113</v>
      </c>
      <c r="B16" s="2" t="s">
        <v>44</v>
      </c>
      <c r="C16" s="2" t="s">
        <v>48</v>
      </c>
      <c r="D16" s="3" t="s">
        <v>97</v>
      </c>
    </row>
    <row r="17" spans="1:4" ht="16.5" customHeight="1" x14ac:dyDescent="0.35">
      <c r="A17" s="3" t="s">
        <v>114</v>
      </c>
      <c r="B17" s="2" t="s">
        <v>63</v>
      </c>
      <c r="C17" s="2" t="s">
        <v>9</v>
      </c>
      <c r="D17" t="s">
        <v>140</v>
      </c>
    </row>
    <row r="18" spans="1:4" ht="16.5" customHeight="1" x14ac:dyDescent="0.35">
      <c r="A18" s="3" t="s">
        <v>114</v>
      </c>
      <c r="B18" s="2" t="s">
        <v>63</v>
      </c>
      <c r="C18" s="2" t="s">
        <v>34</v>
      </c>
      <c r="D18" t="s">
        <v>95</v>
      </c>
    </row>
    <row r="19" spans="1:4" ht="16.5" customHeight="1" x14ac:dyDescent="0.35">
      <c r="A19" s="3" t="s">
        <v>115</v>
      </c>
      <c r="B19" s="2" t="s">
        <v>65</v>
      </c>
      <c r="C19" s="2" t="s">
        <v>47</v>
      </c>
      <c r="D19" s="3" t="s">
        <v>77</v>
      </c>
    </row>
    <row r="20" spans="1:4" ht="16.5" customHeight="1" x14ac:dyDescent="0.35">
      <c r="A20" s="3" t="s">
        <v>118</v>
      </c>
      <c r="B20" s="2" t="s">
        <v>89</v>
      </c>
      <c r="C20" s="2" t="s">
        <v>88</v>
      </c>
      <c r="D20" t="s">
        <v>90</v>
      </c>
    </row>
    <row r="21" spans="1:4" ht="16.5" customHeight="1" x14ac:dyDescent="0.35">
      <c r="A21" s="3" t="s">
        <v>118</v>
      </c>
      <c r="B21" s="2" t="s">
        <v>89</v>
      </c>
      <c r="C21" s="2" t="s">
        <v>91</v>
      </c>
      <c r="D21" t="s">
        <v>77</v>
      </c>
    </row>
    <row r="22" spans="1:4" ht="16.5" customHeight="1" x14ac:dyDescent="0.35">
      <c r="A22" s="3" t="s">
        <v>110</v>
      </c>
      <c r="B22" s="2" t="s">
        <v>87</v>
      </c>
      <c r="C22" s="2" t="s">
        <v>9</v>
      </c>
      <c r="D22" s="2" t="s">
        <v>84</v>
      </c>
    </row>
    <row r="23" spans="1:4" ht="16.5" customHeight="1" x14ac:dyDescent="0.35">
      <c r="A23" s="3" t="s">
        <v>110</v>
      </c>
      <c r="B23" s="2" t="s">
        <v>87</v>
      </c>
      <c r="C23" s="2" t="s">
        <v>34</v>
      </c>
      <c r="D23" s="2" t="s">
        <v>94</v>
      </c>
    </row>
    <row r="24" spans="1:4" ht="16.5" customHeight="1" x14ac:dyDescent="0.35">
      <c r="A24" s="3" t="s">
        <v>135</v>
      </c>
      <c r="B24" s="2" t="s">
        <v>89</v>
      </c>
      <c r="C24" s="2" t="s">
        <v>88</v>
      </c>
      <c r="D24" t="s">
        <v>90</v>
      </c>
    </row>
    <row r="25" spans="1:4" ht="16.5" customHeight="1" x14ac:dyDescent="0.35">
      <c r="A25" s="3" t="s">
        <v>135</v>
      </c>
      <c r="B25" s="2" t="s">
        <v>89</v>
      </c>
      <c r="C25" s="2" t="s">
        <v>91</v>
      </c>
      <c r="D25" t="s">
        <v>77</v>
      </c>
    </row>
    <row r="26" spans="1:4" ht="17" customHeight="1" x14ac:dyDescent="0.35">
      <c r="A26" s="3" t="s">
        <v>141</v>
      </c>
      <c r="B26" s="2" t="s">
        <v>144</v>
      </c>
      <c r="C26" s="2" t="s">
        <v>47</v>
      </c>
      <c r="D26" t="s">
        <v>77</v>
      </c>
    </row>
    <row r="27" spans="1:4" ht="16.5" customHeight="1" x14ac:dyDescent="0.35">
      <c r="A27" s="3" t="s">
        <v>141</v>
      </c>
      <c r="B27" s="2" t="s">
        <v>144</v>
      </c>
      <c r="C27" s="2" t="s">
        <v>9</v>
      </c>
      <c r="D27" t="s">
        <v>145</v>
      </c>
    </row>
    <row r="28" spans="1:4" ht="16.5" customHeight="1" x14ac:dyDescent="0.35">
      <c r="A28" s="3" t="s">
        <v>141</v>
      </c>
      <c r="B28" s="2" t="s">
        <v>144</v>
      </c>
      <c r="C28" s="2" t="s">
        <v>34</v>
      </c>
      <c r="D28" t="s">
        <v>146</v>
      </c>
    </row>
    <row r="29" spans="1:4" ht="16.5" customHeight="1" x14ac:dyDescent="0.35">
      <c r="A29" s="3" t="s">
        <v>141</v>
      </c>
      <c r="B29" s="2" t="s">
        <v>144</v>
      </c>
      <c r="C29" s="2" t="s">
        <v>46</v>
      </c>
      <c r="D29" t="s">
        <v>147</v>
      </c>
    </row>
    <row r="30" spans="1:4" ht="16.5" customHeight="1" x14ac:dyDescent="0.35">
      <c r="A30" s="3" t="s">
        <v>141</v>
      </c>
      <c r="B30" s="2" t="s">
        <v>144</v>
      </c>
      <c r="C30" s="2" t="s">
        <v>48</v>
      </c>
      <c r="D30" t="s">
        <v>148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I14" sqref="I14"/>
    </sheetView>
  </sheetViews>
  <sheetFormatPr defaultColWidth="11" defaultRowHeight="14" customHeight="1" x14ac:dyDescent="0.35"/>
  <cols>
    <col min="2" max="2" width="24.36328125" customWidth="1"/>
    <col min="3" max="3" width="22.90625" customWidth="1"/>
    <col min="4" max="4" width="13.7265625" customWidth="1"/>
    <col min="5" max="5" width="6.08984375" bestFit="1" customWidth="1"/>
    <col min="6" max="6" width="12.453125" customWidth="1"/>
  </cols>
  <sheetData>
    <row r="1" spans="1:6" ht="14" customHeight="1" x14ac:dyDescent="0.35">
      <c r="A1" s="7" t="s">
        <v>107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t="14" customHeight="1" x14ac:dyDescent="0.35">
      <c r="A2" s="3" t="s">
        <v>108</v>
      </c>
      <c r="B2" s="2" t="s">
        <v>4</v>
      </c>
      <c r="C2" s="2" t="s">
        <v>19</v>
      </c>
      <c r="D2" s="2" t="s">
        <v>20</v>
      </c>
      <c r="E2" s="2">
        <v>5</v>
      </c>
      <c r="F2" s="2" t="s">
        <v>21</v>
      </c>
    </row>
    <row r="3" spans="1:6" ht="14" customHeight="1" x14ac:dyDescent="0.35">
      <c r="A3" s="3" t="s">
        <v>110</v>
      </c>
      <c r="B3" s="2" t="s">
        <v>87</v>
      </c>
      <c r="C3" s="2" t="s">
        <v>35</v>
      </c>
      <c r="D3" s="2" t="s">
        <v>39</v>
      </c>
      <c r="E3" s="2">
        <v>4</v>
      </c>
    </row>
    <row r="4" spans="1:6" ht="14" customHeight="1" x14ac:dyDescent="0.35">
      <c r="A4" s="3" t="s">
        <v>110</v>
      </c>
      <c r="B4" s="2" t="s">
        <v>87</v>
      </c>
      <c r="C4" s="2" t="s">
        <v>36</v>
      </c>
      <c r="D4" s="2" t="s">
        <v>39</v>
      </c>
      <c r="E4" s="2">
        <v>4</v>
      </c>
    </row>
    <row r="5" spans="1:6" ht="14" customHeight="1" x14ac:dyDescent="0.35">
      <c r="A5" s="3" t="s">
        <v>110</v>
      </c>
      <c r="B5" s="2" t="s">
        <v>87</v>
      </c>
      <c r="C5" s="2" t="s">
        <v>37</v>
      </c>
      <c r="D5" s="2" t="s">
        <v>39</v>
      </c>
      <c r="E5" s="2">
        <v>4</v>
      </c>
    </row>
    <row r="6" spans="1:6" ht="14" customHeight="1" x14ac:dyDescent="0.35">
      <c r="A6" s="3" t="s">
        <v>110</v>
      </c>
      <c r="B6" s="2" t="s">
        <v>87</v>
      </c>
      <c r="C6" s="2" t="s">
        <v>38</v>
      </c>
      <c r="D6" s="2" t="s">
        <v>39</v>
      </c>
      <c r="E6" s="2">
        <v>4</v>
      </c>
    </row>
    <row r="7" spans="1:6" ht="14" customHeight="1" x14ac:dyDescent="0.35">
      <c r="A7" s="3" t="s">
        <v>110</v>
      </c>
      <c r="B7" s="2" t="s">
        <v>87</v>
      </c>
      <c r="C7" s="2" t="s">
        <v>40</v>
      </c>
      <c r="D7" s="2" t="s">
        <v>41</v>
      </c>
    </row>
    <row r="8" spans="1:6" ht="14" customHeight="1" x14ac:dyDescent="0.35">
      <c r="A8" s="3" t="s">
        <v>112</v>
      </c>
      <c r="B8" s="2" t="s">
        <v>49</v>
      </c>
      <c r="C8" s="2" t="s">
        <v>51</v>
      </c>
      <c r="D8" s="2" t="s">
        <v>20</v>
      </c>
      <c r="E8" s="2">
        <v>5</v>
      </c>
      <c r="F8" s="2" t="s">
        <v>52</v>
      </c>
    </row>
    <row r="9" spans="1:6" ht="14" customHeight="1" x14ac:dyDescent="0.35">
      <c r="A9" s="3" t="s">
        <v>112</v>
      </c>
      <c r="B9" s="2" t="s">
        <v>49</v>
      </c>
      <c r="C9" s="2" t="s">
        <v>53</v>
      </c>
      <c r="D9" s="2" t="s">
        <v>25</v>
      </c>
      <c r="E9" s="2">
        <v>11</v>
      </c>
    </row>
    <row r="10" spans="1:6" ht="14" customHeight="1" x14ac:dyDescent="0.35">
      <c r="A10" s="3" t="s">
        <v>112</v>
      </c>
      <c r="B10" s="2" t="s">
        <v>49</v>
      </c>
      <c r="C10" s="2" t="s">
        <v>57</v>
      </c>
      <c r="D10" s="2" t="s">
        <v>54</v>
      </c>
      <c r="E10" s="2">
        <v>2</v>
      </c>
    </row>
    <row r="11" spans="1:6" ht="14" customHeight="1" x14ac:dyDescent="0.35">
      <c r="A11" s="3" t="s">
        <v>112</v>
      </c>
      <c r="B11" s="2" t="s">
        <v>49</v>
      </c>
      <c r="C11" s="2" t="s">
        <v>98</v>
      </c>
      <c r="D11" s="2" t="s">
        <v>41</v>
      </c>
    </row>
    <row r="12" spans="1:6" ht="14" customHeight="1" x14ac:dyDescent="0.35">
      <c r="A12" s="3" t="s">
        <v>112</v>
      </c>
      <c r="B12" s="2" t="s">
        <v>49</v>
      </c>
      <c r="C12" s="2" t="s">
        <v>99</v>
      </c>
      <c r="D12" s="2" t="s">
        <v>41</v>
      </c>
    </row>
    <row r="13" spans="1:6" ht="14" customHeight="1" x14ac:dyDescent="0.35">
      <c r="A13" s="3" t="s">
        <v>108</v>
      </c>
      <c r="B13" s="2" t="s">
        <v>4</v>
      </c>
      <c r="C13" s="2" t="s">
        <v>22</v>
      </c>
      <c r="D13" s="2" t="s">
        <v>20</v>
      </c>
      <c r="E13" s="2">
        <v>4</v>
      </c>
      <c r="F13" s="2" t="s">
        <v>23</v>
      </c>
    </row>
    <row r="14" spans="1:6" ht="14" customHeight="1" x14ac:dyDescent="0.35">
      <c r="A14" s="3" t="s">
        <v>108</v>
      </c>
      <c r="B14" s="2" t="s">
        <v>4</v>
      </c>
      <c r="C14" s="2" t="s">
        <v>24</v>
      </c>
      <c r="D14" s="2" t="s">
        <v>25</v>
      </c>
      <c r="E14" s="2">
        <v>11</v>
      </c>
      <c r="F14" s="2"/>
    </row>
    <row r="15" spans="1:6" ht="14" customHeight="1" x14ac:dyDescent="0.35">
      <c r="A15" s="3" t="s">
        <v>108</v>
      </c>
      <c r="B15" s="2" t="s">
        <v>4</v>
      </c>
      <c r="C15" s="2" t="s">
        <v>26</v>
      </c>
      <c r="D15" s="2" t="s">
        <v>20</v>
      </c>
      <c r="E15" s="2">
        <v>6</v>
      </c>
      <c r="F15" s="2" t="s">
        <v>27</v>
      </c>
    </row>
    <row r="16" spans="1:6" ht="14" customHeight="1" x14ac:dyDescent="0.35">
      <c r="A16" s="3" t="s">
        <v>108</v>
      </c>
      <c r="B16" s="2" t="s">
        <v>4</v>
      </c>
      <c r="C16" s="2" t="s">
        <v>79</v>
      </c>
      <c r="D16" s="2" t="s">
        <v>80</v>
      </c>
      <c r="E16" s="2"/>
      <c r="F16" s="2"/>
    </row>
    <row r="17" spans="1:6" ht="14" customHeight="1" x14ac:dyDescent="0.35">
      <c r="A17" s="3" t="s">
        <v>127</v>
      </c>
      <c r="B17" s="2" t="s">
        <v>128</v>
      </c>
      <c r="C17" s="2" t="s">
        <v>130</v>
      </c>
      <c r="D17" s="2" t="s">
        <v>20</v>
      </c>
      <c r="E17" s="2">
        <v>5</v>
      </c>
    </row>
    <row r="18" spans="1:6" ht="14" customHeight="1" x14ac:dyDescent="0.35">
      <c r="A18" s="3" t="s">
        <v>135</v>
      </c>
      <c r="B18" s="2" t="s">
        <v>89</v>
      </c>
      <c r="C18" s="2" t="s">
        <v>137</v>
      </c>
      <c r="D18" s="2" t="s">
        <v>20</v>
      </c>
      <c r="E18" s="2">
        <v>5</v>
      </c>
      <c r="F18" s="2" t="s">
        <v>138</v>
      </c>
    </row>
    <row r="19" spans="1:6" ht="14" customHeight="1" x14ac:dyDescent="0.35">
      <c r="A19" s="3" t="s">
        <v>135</v>
      </c>
      <c r="B19" s="2" t="s">
        <v>89</v>
      </c>
      <c r="C19" s="2" t="s">
        <v>139</v>
      </c>
      <c r="D19" s="2" t="s">
        <v>39</v>
      </c>
      <c r="E19" s="2">
        <v>5</v>
      </c>
      <c r="F19" s="2"/>
    </row>
    <row r="20" spans="1:6" ht="14" customHeight="1" x14ac:dyDescent="0.35">
      <c r="A20" s="3" t="s">
        <v>153</v>
      </c>
      <c r="B20" s="2" t="s">
        <v>154</v>
      </c>
      <c r="C20" s="2" t="s">
        <v>156</v>
      </c>
      <c r="D20" s="2" t="s">
        <v>20</v>
      </c>
      <c r="E20" s="2">
        <v>5</v>
      </c>
      <c r="F20" s="2" t="s">
        <v>159</v>
      </c>
    </row>
    <row r="21" spans="1:6" ht="14" customHeight="1" x14ac:dyDescent="0.35">
      <c r="A21" s="3" t="s">
        <v>153</v>
      </c>
      <c r="B21" s="2" t="s">
        <v>154</v>
      </c>
      <c r="C21" s="2" t="s">
        <v>157</v>
      </c>
      <c r="D21" s="2" t="s">
        <v>20</v>
      </c>
      <c r="E21" s="2">
        <v>5</v>
      </c>
      <c r="F21" s="2" t="s">
        <v>158</v>
      </c>
    </row>
    <row r="22" spans="1:6" ht="14" customHeight="1" x14ac:dyDescent="0.35">
      <c r="A22" s="3" t="s">
        <v>153</v>
      </c>
      <c r="B22" s="2" t="s">
        <v>154</v>
      </c>
      <c r="C22" s="2" t="s">
        <v>80</v>
      </c>
      <c r="D22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Screens</vt:lpstr>
      <vt:lpstr>Params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Imran</dc:creator>
  <cp:lastModifiedBy>Hadi Imran</cp:lastModifiedBy>
  <dcterms:created xsi:type="dcterms:W3CDTF">2025-09-18T07:08:11Z</dcterms:created>
  <dcterms:modified xsi:type="dcterms:W3CDTF">2025-12-10T10:01:15Z</dcterms:modified>
</cp:coreProperties>
</file>